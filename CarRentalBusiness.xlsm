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poo\Downloads\Project\"/>
    </mc:Choice>
  </mc:AlternateContent>
  <xr:revisionPtr revIDLastSave="0" documentId="13_ncr:1_{667CB978-EEB7-4F48-A3E1-796F37DCDF1B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Records" sheetId="1" r:id="rId1"/>
    <sheet name="Form" sheetId="2" r:id="rId2"/>
    <sheet name="PivotTable" sheetId="5" r:id="rId3"/>
    <sheet name="Info" sheetId="3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2" l="1"/>
  <c r="D14" i="2" s="1"/>
  <c r="D13" i="2"/>
  <c r="C3" i="1"/>
  <c r="D15" i="2" l="1"/>
</calcChain>
</file>

<file path=xl/sharedStrings.xml><?xml version="1.0" encoding="utf-8"?>
<sst xmlns="http://schemas.openxmlformats.org/spreadsheetml/2006/main" count="210" uniqueCount="68">
  <si>
    <t>Car Rental Services</t>
  </si>
  <si>
    <t>BookingID</t>
  </si>
  <si>
    <t>CustomerName</t>
  </si>
  <si>
    <t>CarBrand</t>
  </si>
  <si>
    <t>CarModel</t>
  </si>
  <si>
    <t>EndDate</t>
  </si>
  <si>
    <t>TotalCost</t>
  </si>
  <si>
    <t>Status</t>
  </si>
  <si>
    <t>StartDate</t>
  </si>
  <si>
    <t>Emily Davis</t>
  </si>
  <si>
    <t>Audi</t>
  </si>
  <si>
    <t>A4</t>
  </si>
  <si>
    <t>Sarah Wilson</t>
  </si>
  <si>
    <t>Ford</t>
  </si>
  <si>
    <t>Mustang</t>
  </si>
  <si>
    <t>Chris Johnson</t>
  </si>
  <si>
    <t>Toyota</t>
  </si>
  <si>
    <t>Corolla</t>
  </si>
  <si>
    <t>Chevrolet</t>
  </si>
  <si>
    <t>Suburban</t>
  </si>
  <si>
    <t>Active</t>
  </si>
  <si>
    <t>BMW</t>
  </si>
  <si>
    <t>X5</t>
  </si>
  <si>
    <t>Completed</t>
  </si>
  <si>
    <t xml:space="preserve">	Davi Taylor</t>
  </si>
  <si>
    <t>Mercedes-Benz</t>
  </si>
  <si>
    <t>C-Class</t>
  </si>
  <si>
    <t>John Smith</t>
  </si>
  <si>
    <t>Honda</t>
  </si>
  <si>
    <t>Civic</t>
  </si>
  <si>
    <t>Hyundai</t>
  </si>
  <si>
    <t>Elantra</t>
  </si>
  <si>
    <t>Jane Doe</t>
  </si>
  <si>
    <t>Michael Brown</t>
  </si>
  <si>
    <t>Anna Moore</t>
  </si>
  <si>
    <t>Booked</t>
  </si>
  <si>
    <t>New Booking!!</t>
  </si>
  <si>
    <t>Sum of TotalCost</t>
  </si>
  <si>
    <t>Row Labels</t>
  </si>
  <si>
    <t>Grand Total</t>
  </si>
  <si>
    <t>Customer Name:</t>
  </si>
  <si>
    <t>License Number:</t>
  </si>
  <si>
    <t>Email:</t>
  </si>
  <si>
    <t>Phone Number:</t>
  </si>
  <si>
    <t>CarBrand:</t>
  </si>
  <si>
    <t>CarModel:</t>
  </si>
  <si>
    <t>StartDate:</t>
  </si>
  <si>
    <t>EndDate:</t>
  </si>
  <si>
    <t>Kelly</t>
  </si>
  <si>
    <t>Total Cost</t>
  </si>
  <si>
    <t>DailyRate</t>
  </si>
  <si>
    <t>NumberofDays:</t>
  </si>
  <si>
    <t>Daily Rate</t>
  </si>
  <si>
    <t>Tesla</t>
  </si>
  <si>
    <t>Model 3</t>
  </si>
  <si>
    <t>Jeep</t>
  </si>
  <si>
    <t>Wrangler</t>
  </si>
  <si>
    <t>Options</t>
  </si>
  <si>
    <t>Address:</t>
  </si>
  <si>
    <t>XYZ</t>
  </si>
  <si>
    <t>GH123456</t>
  </si>
  <si>
    <t>XYZ@gmail.com</t>
  </si>
  <si>
    <t>W34,88th Street</t>
  </si>
  <si>
    <t>Column Labels</t>
  </si>
  <si>
    <t>Jan</t>
  </si>
  <si>
    <t>Feb</t>
  </si>
  <si>
    <t>Mar</t>
  </si>
  <si>
    <t>Today's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</si>
</sst>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7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000000"/>
      <name val="Calibri"/>
      <family val="2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/>
  </cellStyleXfs>
  <cellXfs count="36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3" fillId="2" borderId="0" xfId="0" applyFont="1" applyFill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6" fillId="3" borderId="1" xfId="2" applyFont="1" applyFill="1" applyBorder="1" applyAlignment="1">
      <alignment wrapText="1"/>
    </xf>
    <xf numFmtId="0" fontId="6" fillId="3" borderId="2" xfId="2" applyFont="1" applyFill="1" applyBorder="1" applyAlignment="1">
      <alignment wrapText="1"/>
    </xf>
    <xf numFmtId="0" fontId="6" fillId="3" borderId="3" xfId="2" applyFont="1" applyFill="1" applyBorder="1" applyAlignment="1">
      <alignment wrapText="1"/>
    </xf>
    <xf numFmtId="0" fontId="6" fillId="3" borderId="5" xfId="2" applyFont="1" applyFill="1" applyBorder="1" applyAlignment="1">
      <alignment wrapText="1"/>
    </xf>
    <xf numFmtId="0" fontId="6" fillId="4" borderId="9" xfId="2" applyFont="1" applyFill="1" applyBorder="1" applyAlignment="1">
      <alignment horizontal="center"/>
    </xf>
    <xf numFmtId="0" fontId="6" fillId="4" borderId="10" xfId="2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4" fillId="3" borderId="2" xfId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Hyperlink" xfId="1" builtinId="8"/>
    <cellStyle name="Normal" xfId="0" builtinId="0"/>
    <cellStyle name="Normal_Form" xfId="2" xr:uid="{2CDA2713-84CB-496A-8B42-B176DAF58FAF}"/>
  </cellStyles>
  <dxfs count="5"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5</xdr:row>
          <xdr:rowOff>142875</xdr:rowOff>
        </xdr:from>
        <xdr:to>
          <xdr:col>13</xdr:col>
          <xdr:colOff>238125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2</xdr:row>
          <xdr:rowOff>171450</xdr:rowOff>
        </xdr:from>
        <xdr:to>
          <xdr:col>6</xdr:col>
          <xdr:colOff>323850</xdr:colOff>
          <xdr:row>5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8</xdr:row>
          <xdr:rowOff>19050</xdr:rowOff>
        </xdr:from>
        <xdr:to>
          <xdr:col>12</xdr:col>
          <xdr:colOff>0</xdr:colOff>
          <xdr:row>10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Info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kapoor" refreshedDate="45681.041234953707" createdVersion="8" refreshedVersion="8" minRefreshableVersion="3" recordCount="20" xr:uid="{A8BA34CE-CED4-44CB-9487-677E57845401}">
  <cacheSource type="worksheet">
    <worksheetSource ref="A1:E21" sheet="Info"/>
  </cacheSource>
  <cacheFields count="6">
    <cacheField name="CarModel" numFmtId="0">
      <sharedItems count="10">
        <s v="A4"/>
        <s v="Mustang"/>
        <s v="Model 3"/>
        <s v="C-Class"/>
        <s v="Elantra"/>
        <s v="Civic"/>
        <s v="X5"/>
        <s v="Corolla"/>
        <s v="Suburban"/>
        <s v="Wrangler"/>
      </sharedItems>
    </cacheField>
    <cacheField name="CarBrand" numFmtId="0">
      <sharedItems count="10">
        <s v="Audi"/>
        <s v="Ford"/>
        <s v="Tesla"/>
        <s v="Mercedes-Benz"/>
        <s v="Hyundai"/>
        <s v="Honda"/>
        <s v="BMW"/>
        <s v="Toyota"/>
        <s v="Chevrolet"/>
        <s v="Jeep"/>
      </sharedItems>
    </cacheField>
    <cacheField name="DailyRate" numFmtId="164">
      <sharedItems containsSemiMixedTypes="0" containsString="0" containsNumber="1" containsInteger="1" minValue="45" maxValue="150"/>
    </cacheField>
    <cacheField name="TotalCost" numFmtId="164">
      <sharedItems containsSemiMixedTypes="0" containsString="0" containsNumber="1" containsInteger="1" minValue="100" maxValue="650"/>
    </cacheField>
    <cacheField name="StartDate" numFmtId="14">
      <sharedItems containsSemiMixedTypes="0" containsNonDate="0" containsDate="1" containsString="0" minDate="2025-01-01T00:00:00" maxDate="2025-03-10T00:00:00" count="20">
        <d v="2025-01-01T00:00:00"/>
        <d v="2025-01-05T00:00:00"/>
        <d v="2025-01-08T00:00:00"/>
        <d v="2025-01-10T00:00:00"/>
        <d v="2025-01-12T00:00:00"/>
        <d v="2025-01-15T00:00:00"/>
        <d v="2025-01-17T00:00:00"/>
        <d v="2025-01-20T00:00:00"/>
        <d v="2025-01-23T00:00:00"/>
        <d v="2025-01-26T00:00:00"/>
        <d v="2025-01-30T00:00:00"/>
        <d v="2025-02-03T00:00:00"/>
        <d v="2025-02-08T00:00:00"/>
        <d v="2025-02-11T00:00:00"/>
        <d v="2025-02-16T00:00:00"/>
        <d v="2025-02-20T00:00:00"/>
        <d v="2025-02-25T00:00:00"/>
        <d v="2025-03-01T00:00:00"/>
        <d v="2025-03-04T00:00:00"/>
        <d v="2025-03-09T00:00:00"/>
      </sharedItems>
      <fieldGroup par="5"/>
    </cacheField>
    <cacheField name="Months (StartDate)" numFmtId="0" databaseField="0">
      <fieldGroup base="4">
        <rangePr groupBy="months" startDate="2025-01-01T00:00:00" endDate="2025-03-10T00:00:00"/>
        <groupItems count="14">
          <s v="&lt;01/01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03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85"/>
    <n v="170"/>
    <x v="0"/>
  </r>
  <r>
    <x v="1"/>
    <x v="1"/>
    <n v="120"/>
    <n v="360"/>
    <x v="1"/>
  </r>
  <r>
    <x v="2"/>
    <x v="2"/>
    <n v="100"/>
    <n v="400"/>
    <x v="2"/>
  </r>
  <r>
    <x v="3"/>
    <x v="3"/>
    <n v="130"/>
    <n v="650"/>
    <x v="3"/>
  </r>
  <r>
    <x v="4"/>
    <x v="4"/>
    <n v="45"/>
    <n v="225"/>
    <x v="4"/>
  </r>
  <r>
    <x v="5"/>
    <x v="5"/>
    <n v="55"/>
    <n v="110"/>
    <x v="5"/>
  </r>
  <r>
    <x v="6"/>
    <x v="6"/>
    <n v="150"/>
    <n v="450"/>
    <x v="6"/>
  </r>
  <r>
    <x v="7"/>
    <x v="7"/>
    <n v="50"/>
    <n v="150"/>
    <x v="7"/>
  </r>
  <r>
    <x v="8"/>
    <x v="8"/>
    <n v="90"/>
    <n v="360"/>
    <x v="8"/>
  </r>
  <r>
    <x v="9"/>
    <x v="9"/>
    <n v="110"/>
    <n v="330"/>
    <x v="9"/>
  </r>
  <r>
    <x v="3"/>
    <x v="3"/>
    <n v="130"/>
    <n v="650"/>
    <x v="10"/>
  </r>
  <r>
    <x v="2"/>
    <x v="2"/>
    <n v="100"/>
    <n v="400"/>
    <x v="11"/>
  </r>
  <r>
    <x v="0"/>
    <x v="0"/>
    <n v="85"/>
    <n v="255"/>
    <x v="12"/>
  </r>
  <r>
    <x v="1"/>
    <x v="1"/>
    <n v="120"/>
    <n v="480"/>
    <x v="13"/>
  </r>
  <r>
    <x v="5"/>
    <x v="5"/>
    <n v="55"/>
    <n v="165"/>
    <x v="14"/>
  </r>
  <r>
    <x v="4"/>
    <x v="4"/>
    <n v="45"/>
    <n v="225"/>
    <x v="15"/>
  </r>
  <r>
    <x v="6"/>
    <x v="6"/>
    <n v="150"/>
    <n v="450"/>
    <x v="16"/>
  </r>
  <r>
    <x v="8"/>
    <x v="8"/>
    <n v="90"/>
    <n v="270"/>
    <x v="17"/>
  </r>
  <r>
    <x v="9"/>
    <x v="9"/>
    <n v="110"/>
    <n v="550"/>
    <x v="18"/>
  </r>
  <r>
    <x v="7"/>
    <x v="7"/>
    <n v="50"/>
    <n v="100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CBA114-82A5-45AA-ACE5-1CECE076DBB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25" firstHeaderRow="1" firstDataRow="2" firstDataCol="1"/>
  <pivotFields count="6">
    <pivotField axis="axisRow" showAll="0">
      <items count="11">
        <item x="0"/>
        <item x="3"/>
        <item x="5"/>
        <item x="7"/>
        <item x="4"/>
        <item x="2"/>
        <item x="1"/>
        <item x="8"/>
        <item x="9"/>
        <item x="6"/>
        <item t="default"/>
      </items>
    </pivotField>
    <pivotField axis="axisRow" showAll="0">
      <items count="11">
        <item x="0"/>
        <item x="6"/>
        <item x="8"/>
        <item x="1"/>
        <item x="5"/>
        <item x="4"/>
        <item x="9"/>
        <item x="3"/>
        <item x="2"/>
        <item x="7"/>
        <item t="default"/>
      </items>
    </pivotField>
    <pivotField numFmtId="164" showAll="0"/>
    <pivotField dataField="1" numFmtId="164" showAll="0"/>
    <pivotField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1"/>
    <field x="0"/>
  </rowFields>
  <rowItems count="21">
    <i>
      <x/>
    </i>
    <i r="1">
      <x/>
    </i>
    <i>
      <x v="1"/>
    </i>
    <i r="1">
      <x v="9"/>
    </i>
    <i>
      <x v="2"/>
    </i>
    <i r="1">
      <x v="7"/>
    </i>
    <i>
      <x v="3"/>
    </i>
    <i r="1">
      <x v="6"/>
    </i>
    <i>
      <x v="4"/>
    </i>
    <i r="1">
      <x v="2"/>
    </i>
    <i>
      <x v="5"/>
    </i>
    <i r="1">
      <x v="4"/>
    </i>
    <i>
      <x v="6"/>
    </i>
    <i r="1">
      <x v="8"/>
    </i>
    <i>
      <x v="7"/>
    </i>
    <i r="1">
      <x v="1"/>
    </i>
    <i>
      <x v="8"/>
    </i>
    <i r="1">
      <x v="5"/>
    </i>
    <i>
      <x v="9"/>
    </i>
    <i r="1">
      <x v="3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dataFields count="1">
    <dataField name="Sum of TotalCost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XYZ@gmail.com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29"/>
  <sheetViews>
    <sheetView tabSelected="1" zoomScaleNormal="100" workbookViewId="0">
      <selection activeCell="D20" activeCellId="1" sqref="G3 D20"/>
    </sheetView>
  </sheetViews>
  <sheetFormatPr defaultColWidth="9.1328125" defaultRowHeight="14.25" x14ac:dyDescent="0.45"/>
  <cols>
    <col min="1" max="1" width="9.1328125" style="1"/>
    <col min="2" max="2" width="12.1328125" style="13" customWidth="1"/>
    <col min="3" max="3" width="14.86328125" style="13" customWidth="1"/>
    <col min="4" max="4" width="9.1328125" style="13"/>
    <col min="5" max="6" width="11.1328125" style="13" customWidth="1"/>
    <col min="7" max="7" width="11.3984375" style="13" customWidth="1"/>
    <col min="8" max="8" width="9.1328125" style="13"/>
    <col min="9" max="9" width="14" style="1" customWidth="1"/>
    <col min="10" max="16384" width="9.1328125" style="1"/>
  </cols>
  <sheetData>
    <row r="2" spans="2:9" ht="46.15" x14ac:dyDescent="1.35">
      <c r="B2" s="27" t="s">
        <v>0</v>
      </c>
    </row>
    <row r="3" spans="2:9" x14ac:dyDescent="0.45">
      <c r="B3" s="13" t="s">
        <v>67</v>
      </c>
      <c r="C3" s="28">
        <f ca="1">TODAY()</f>
        <v>45681</v>
      </c>
    </row>
    <row r="4" spans="2:9" x14ac:dyDescent="0.45">
      <c r="B4" s="29" t="s">
        <v>1</v>
      </c>
      <c r="C4" s="30" t="s">
        <v>2</v>
      </c>
      <c r="D4" s="30" t="s">
        <v>3</v>
      </c>
      <c r="E4" s="30" t="s">
        <v>4</v>
      </c>
      <c r="F4" s="30" t="s">
        <v>8</v>
      </c>
      <c r="G4" s="30" t="s">
        <v>5</v>
      </c>
      <c r="H4" s="30" t="s">
        <v>6</v>
      </c>
      <c r="I4" s="7" t="s">
        <v>7</v>
      </c>
    </row>
    <row r="5" spans="2:9" x14ac:dyDescent="0.45">
      <c r="B5" s="31">
        <v>1</v>
      </c>
      <c r="C5" s="32" t="s">
        <v>12</v>
      </c>
      <c r="D5" s="32" t="s">
        <v>10</v>
      </c>
      <c r="E5" s="32" t="s">
        <v>11</v>
      </c>
      <c r="F5" s="33">
        <v>45658</v>
      </c>
      <c r="G5" s="33">
        <v>45660</v>
      </c>
      <c r="H5" s="32">
        <v>170</v>
      </c>
      <c r="I5" s="3" t="s">
        <v>23</v>
      </c>
    </row>
    <row r="6" spans="2:9" x14ac:dyDescent="0.45">
      <c r="B6" s="31">
        <v>2</v>
      </c>
      <c r="C6" s="32" t="s">
        <v>33</v>
      </c>
      <c r="D6" s="32" t="s">
        <v>13</v>
      </c>
      <c r="E6" s="32" t="s">
        <v>14</v>
      </c>
      <c r="F6" s="33">
        <v>45662</v>
      </c>
      <c r="G6" s="33">
        <v>45664</v>
      </c>
      <c r="H6" s="32">
        <v>360</v>
      </c>
      <c r="I6" s="3" t="s">
        <v>23</v>
      </c>
    </row>
    <row r="7" spans="2:9" x14ac:dyDescent="0.45">
      <c r="B7" s="31">
        <v>3</v>
      </c>
      <c r="C7" s="32" t="s">
        <v>34</v>
      </c>
      <c r="D7" s="32" t="s">
        <v>53</v>
      </c>
      <c r="E7" s="32" t="s">
        <v>54</v>
      </c>
      <c r="F7" s="33">
        <v>45665</v>
      </c>
      <c r="G7" s="33">
        <v>45668</v>
      </c>
      <c r="H7" s="32">
        <v>400</v>
      </c>
      <c r="I7" s="3" t="s">
        <v>23</v>
      </c>
    </row>
    <row r="8" spans="2:9" x14ac:dyDescent="0.45">
      <c r="B8" s="31">
        <v>4</v>
      </c>
      <c r="C8" s="32" t="s">
        <v>32</v>
      </c>
      <c r="D8" s="32" t="s">
        <v>25</v>
      </c>
      <c r="E8" s="32" t="s">
        <v>26</v>
      </c>
      <c r="F8" s="33">
        <v>45667</v>
      </c>
      <c r="G8" s="33">
        <v>45671</v>
      </c>
      <c r="H8" s="32">
        <v>650</v>
      </c>
      <c r="I8" s="3" t="s">
        <v>23</v>
      </c>
    </row>
    <row r="9" spans="2:9" x14ac:dyDescent="0.45">
      <c r="B9" s="31">
        <v>5</v>
      </c>
      <c r="C9" s="32" t="s">
        <v>24</v>
      </c>
      <c r="D9" s="32" t="s">
        <v>30</v>
      </c>
      <c r="E9" s="32" t="s">
        <v>31</v>
      </c>
      <c r="F9" s="33">
        <v>45669</v>
      </c>
      <c r="G9" s="33">
        <v>45673</v>
      </c>
      <c r="H9" s="32">
        <v>225</v>
      </c>
      <c r="I9" s="3" t="s">
        <v>23</v>
      </c>
    </row>
    <row r="10" spans="2:9" x14ac:dyDescent="0.45">
      <c r="B10" s="31">
        <v>6</v>
      </c>
      <c r="C10" s="32" t="s">
        <v>9</v>
      </c>
      <c r="D10" s="32" t="s">
        <v>28</v>
      </c>
      <c r="E10" s="32" t="s">
        <v>29</v>
      </c>
      <c r="F10" s="33">
        <v>45672</v>
      </c>
      <c r="G10" s="33">
        <v>45674</v>
      </c>
      <c r="H10" s="32">
        <v>110</v>
      </c>
      <c r="I10" s="3" t="s">
        <v>23</v>
      </c>
    </row>
    <row r="11" spans="2:9" x14ac:dyDescent="0.45">
      <c r="B11" s="31">
        <v>7</v>
      </c>
      <c r="C11" s="32" t="s">
        <v>15</v>
      </c>
      <c r="D11" s="32" t="s">
        <v>21</v>
      </c>
      <c r="E11" s="32" t="s">
        <v>22</v>
      </c>
      <c r="F11" s="33">
        <v>45674</v>
      </c>
      <c r="G11" s="33">
        <v>45677</v>
      </c>
      <c r="H11" s="32">
        <v>450</v>
      </c>
      <c r="I11" s="3" t="s">
        <v>23</v>
      </c>
    </row>
    <row r="12" spans="2:9" x14ac:dyDescent="0.45">
      <c r="B12" s="31">
        <v>8</v>
      </c>
      <c r="C12" s="32" t="s">
        <v>27</v>
      </c>
      <c r="D12" s="32" t="s">
        <v>16</v>
      </c>
      <c r="E12" s="32" t="s">
        <v>17</v>
      </c>
      <c r="F12" s="33">
        <v>45677</v>
      </c>
      <c r="G12" s="33">
        <v>45679</v>
      </c>
      <c r="H12" s="32">
        <v>150</v>
      </c>
      <c r="I12" s="3" t="s">
        <v>23</v>
      </c>
    </row>
    <row r="13" spans="2:9" x14ac:dyDescent="0.45">
      <c r="B13" s="31">
        <v>9</v>
      </c>
      <c r="C13" s="32" t="s">
        <v>48</v>
      </c>
      <c r="D13" s="32" t="s">
        <v>18</v>
      </c>
      <c r="E13" s="32" t="s">
        <v>19</v>
      </c>
      <c r="F13" s="33">
        <v>45680</v>
      </c>
      <c r="G13" s="33">
        <v>45683</v>
      </c>
      <c r="H13" s="32">
        <v>360</v>
      </c>
      <c r="I13" s="3" t="s">
        <v>20</v>
      </c>
    </row>
    <row r="14" spans="2:9" x14ac:dyDescent="0.45">
      <c r="B14" s="31">
        <v>10</v>
      </c>
      <c r="C14" s="32" t="s">
        <v>34</v>
      </c>
      <c r="D14" s="32" t="s">
        <v>55</v>
      </c>
      <c r="E14" s="32" t="s">
        <v>56</v>
      </c>
      <c r="F14" s="33">
        <v>45683</v>
      </c>
      <c r="G14" s="33">
        <v>45686</v>
      </c>
      <c r="H14" s="32">
        <v>330</v>
      </c>
      <c r="I14" s="3" t="s">
        <v>35</v>
      </c>
    </row>
    <row r="15" spans="2:9" x14ac:dyDescent="0.45">
      <c r="B15" s="31">
        <v>11</v>
      </c>
      <c r="C15" s="32" t="s">
        <v>33</v>
      </c>
      <c r="D15" s="32" t="s">
        <v>25</v>
      </c>
      <c r="E15" s="32" t="s">
        <v>26</v>
      </c>
      <c r="F15" s="33">
        <v>45687</v>
      </c>
      <c r="G15" s="33">
        <v>45691</v>
      </c>
      <c r="H15" s="32">
        <v>650</v>
      </c>
      <c r="I15" s="3" t="s">
        <v>35</v>
      </c>
    </row>
    <row r="16" spans="2:9" x14ac:dyDescent="0.45">
      <c r="B16" s="31">
        <v>12</v>
      </c>
      <c r="C16" s="32" t="s">
        <v>15</v>
      </c>
      <c r="D16" s="32" t="s">
        <v>53</v>
      </c>
      <c r="E16" s="32" t="s">
        <v>54</v>
      </c>
      <c r="F16" s="33">
        <v>45691</v>
      </c>
      <c r="G16" s="33">
        <v>45695</v>
      </c>
      <c r="H16" s="32">
        <v>400</v>
      </c>
      <c r="I16" s="3" t="s">
        <v>35</v>
      </c>
    </row>
    <row r="17" spans="2:9" x14ac:dyDescent="0.45">
      <c r="B17" s="31">
        <v>13</v>
      </c>
      <c r="C17" s="32" t="s">
        <v>32</v>
      </c>
      <c r="D17" s="32" t="s">
        <v>10</v>
      </c>
      <c r="E17" s="32" t="s">
        <v>11</v>
      </c>
      <c r="F17" s="33">
        <v>45696</v>
      </c>
      <c r="G17" s="33">
        <v>45698</v>
      </c>
      <c r="H17" s="32">
        <v>255</v>
      </c>
      <c r="I17" s="3" t="s">
        <v>35</v>
      </c>
    </row>
    <row r="18" spans="2:9" x14ac:dyDescent="0.45">
      <c r="B18" s="31">
        <v>14</v>
      </c>
      <c r="C18" s="32" t="s">
        <v>24</v>
      </c>
      <c r="D18" s="32" t="s">
        <v>13</v>
      </c>
      <c r="E18" s="32" t="s">
        <v>14</v>
      </c>
      <c r="F18" s="33">
        <v>45699</v>
      </c>
      <c r="G18" s="33">
        <v>45703</v>
      </c>
      <c r="H18" s="32">
        <v>480</v>
      </c>
      <c r="I18" s="3" t="s">
        <v>35</v>
      </c>
    </row>
    <row r="19" spans="2:9" x14ac:dyDescent="0.45">
      <c r="B19" s="31">
        <v>15</v>
      </c>
      <c r="C19" s="32" t="s">
        <v>9</v>
      </c>
      <c r="D19" s="32" t="s">
        <v>28</v>
      </c>
      <c r="E19" s="32" t="s">
        <v>29</v>
      </c>
      <c r="F19" s="33">
        <v>45704</v>
      </c>
      <c r="G19" s="33">
        <v>45707</v>
      </c>
      <c r="H19" s="32">
        <v>165</v>
      </c>
      <c r="I19" s="3" t="s">
        <v>35</v>
      </c>
    </row>
    <row r="20" spans="2:9" x14ac:dyDescent="0.45">
      <c r="B20" s="31">
        <v>16</v>
      </c>
      <c r="C20" s="32" t="s">
        <v>12</v>
      </c>
      <c r="D20" s="32" t="s">
        <v>30</v>
      </c>
      <c r="E20" s="32" t="s">
        <v>31</v>
      </c>
      <c r="F20" s="33">
        <v>45708</v>
      </c>
      <c r="G20" s="33">
        <v>45712</v>
      </c>
      <c r="H20" s="32">
        <v>225</v>
      </c>
      <c r="I20" s="3" t="s">
        <v>35</v>
      </c>
    </row>
    <row r="21" spans="2:9" x14ac:dyDescent="0.45">
      <c r="B21" s="31">
        <v>17</v>
      </c>
      <c r="C21" s="32" t="s">
        <v>48</v>
      </c>
      <c r="D21" s="32" t="s">
        <v>21</v>
      </c>
      <c r="E21" s="32" t="s">
        <v>22</v>
      </c>
      <c r="F21" s="33">
        <v>45713</v>
      </c>
      <c r="G21" s="33">
        <v>45716</v>
      </c>
      <c r="H21" s="32">
        <v>450</v>
      </c>
      <c r="I21" s="3" t="s">
        <v>35</v>
      </c>
    </row>
    <row r="22" spans="2:9" x14ac:dyDescent="0.45">
      <c r="B22" s="31">
        <v>18</v>
      </c>
      <c r="C22" s="32" t="s">
        <v>27</v>
      </c>
      <c r="D22" s="32" t="s">
        <v>18</v>
      </c>
      <c r="E22" s="32" t="s">
        <v>19</v>
      </c>
      <c r="F22" s="33">
        <v>45717</v>
      </c>
      <c r="G22" s="33">
        <v>45719</v>
      </c>
      <c r="H22" s="32">
        <v>270</v>
      </c>
      <c r="I22" s="3" t="s">
        <v>35</v>
      </c>
    </row>
    <row r="23" spans="2:9" x14ac:dyDescent="0.45">
      <c r="B23" s="31">
        <v>19</v>
      </c>
      <c r="C23" s="32" t="s">
        <v>33</v>
      </c>
      <c r="D23" s="32" t="s">
        <v>55</v>
      </c>
      <c r="E23" s="32" t="s">
        <v>56</v>
      </c>
      <c r="F23" s="33">
        <v>45720</v>
      </c>
      <c r="G23" s="33">
        <v>45724</v>
      </c>
      <c r="H23" s="32">
        <v>550</v>
      </c>
      <c r="I23" s="3" t="s">
        <v>35</v>
      </c>
    </row>
    <row r="24" spans="2:9" x14ac:dyDescent="0.45">
      <c r="B24" s="31">
        <v>20</v>
      </c>
      <c r="C24" s="32" t="s">
        <v>32</v>
      </c>
      <c r="D24" s="32" t="s">
        <v>16</v>
      </c>
      <c r="E24" s="32" t="s">
        <v>17</v>
      </c>
      <c r="F24" s="33">
        <v>45725</v>
      </c>
      <c r="G24" s="33">
        <v>45727</v>
      </c>
      <c r="H24" s="32">
        <v>100</v>
      </c>
      <c r="I24" s="3" t="s">
        <v>35</v>
      </c>
    </row>
    <row r="25" spans="2:9" x14ac:dyDescent="0.45">
      <c r="B25" s="31">
        <v>21</v>
      </c>
      <c r="C25" s="32" t="s">
        <v>59</v>
      </c>
      <c r="D25" s="32" t="s">
        <v>55</v>
      </c>
      <c r="E25" s="32" t="s">
        <v>56</v>
      </c>
      <c r="F25" s="33">
        <v>45690</v>
      </c>
      <c r="G25" s="33">
        <v>45779</v>
      </c>
      <c r="H25" s="32">
        <v>3</v>
      </c>
      <c r="I25" s="3" t="s">
        <v>35</v>
      </c>
    </row>
    <row r="26" spans="2:9" x14ac:dyDescent="0.45">
      <c r="B26" s="31"/>
      <c r="C26" s="32"/>
      <c r="D26" s="32"/>
      <c r="E26" s="32"/>
      <c r="F26" s="32"/>
      <c r="G26" s="32"/>
      <c r="H26" s="32"/>
      <c r="I26" s="3"/>
    </row>
    <row r="27" spans="2:9" x14ac:dyDescent="0.45">
      <c r="B27" s="31"/>
      <c r="C27" s="32"/>
      <c r="D27" s="32"/>
      <c r="E27" s="32"/>
      <c r="F27" s="32"/>
      <c r="G27" s="32"/>
      <c r="H27" s="32"/>
      <c r="I27" s="3"/>
    </row>
    <row r="28" spans="2:9" x14ac:dyDescent="0.45">
      <c r="B28" s="31"/>
      <c r="C28" s="32"/>
      <c r="D28" s="32"/>
      <c r="E28" s="32"/>
      <c r="F28" s="32"/>
      <c r="G28" s="32"/>
      <c r="H28" s="32"/>
      <c r="I28" s="3"/>
    </row>
    <row r="29" spans="2:9" x14ac:dyDescent="0.45">
      <c r="B29" s="34"/>
      <c r="C29" s="35"/>
      <c r="D29" s="35"/>
      <c r="E29" s="35"/>
      <c r="F29" s="35"/>
      <c r="G29" s="35"/>
      <c r="H29" s="35"/>
      <c r="I29" s="5"/>
    </row>
  </sheetData>
  <conditionalFormatting sqref="I5">
    <cfRule type="containsText" dxfId="4" priority="6" operator="containsText" text="Booked">
      <formula>NOT(ISERROR(SEARCH("Booked",I5)))</formula>
    </cfRule>
    <cfRule type="colorScale" priority="8">
      <colorScale>
        <cfvo type="min"/>
        <cfvo type="max"/>
        <color theme="5"/>
        <color rgb="FFFFEF9C"/>
      </colorScale>
    </cfRule>
  </conditionalFormatting>
  <conditionalFormatting sqref="I1:I1048576">
    <cfRule type="cellIs" dxfId="3" priority="1" operator="equal">
      <formula>"Completed"</formula>
    </cfRule>
    <cfRule type="cellIs" dxfId="2" priority="2" operator="equal">
      <formula>"Active"</formula>
    </cfRule>
    <cfRule type="colorScale" priority="7">
      <colorScale>
        <cfvo type="min"/>
        <cfvo type="max"/>
        <color rgb="FFFF7128"/>
        <color rgb="FFFFEF9C"/>
      </colorScale>
    </cfRule>
  </conditionalFormatting>
  <conditionalFormatting sqref="I4">
    <cfRule type="cellIs" dxfId="1" priority="4" operator="equal">
      <formula>"Active"</formula>
    </cfRule>
  </conditionalFormatting>
  <conditionalFormatting sqref="I5:I29">
    <cfRule type="cellIs" dxfId="0" priority="3" operator="equal">
      <formula>"Booked"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BookingData">
                <anchor moveWithCells="1" sizeWithCells="1">
                  <from>
                    <xdr:col>10</xdr:col>
                    <xdr:colOff>514350</xdr:colOff>
                    <xdr:row>5</xdr:row>
                    <xdr:rowOff>142875</xdr:rowOff>
                  </from>
                  <to>
                    <xdr:col>13</xdr:col>
                    <xdr:colOff>238125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1404B-FA65-46CC-AE85-5AB5C632585D}">
  <sheetPr codeName="Sheet2"/>
  <dimension ref="C2:K17"/>
  <sheetViews>
    <sheetView workbookViewId="0">
      <selection activeCell="D4" sqref="D4"/>
    </sheetView>
  </sheetViews>
  <sheetFormatPr defaultColWidth="9.1328125" defaultRowHeight="14.25" x14ac:dyDescent="0.45"/>
  <cols>
    <col min="1" max="2" width="9.1328125" style="1"/>
    <col min="3" max="3" width="16.265625" style="1" customWidth="1"/>
    <col min="4" max="4" width="25.86328125" style="13" customWidth="1"/>
    <col min="5" max="9" width="9.1328125" style="1"/>
    <col min="10" max="10" width="17.59765625" style="1" customWidth="1"/>
    <col min="11" max="16384" width="9.1328125" style="1"/>
  </cols>
  <sheetData>
    <row r="2" spans="3:11" ht="36" x14ac:dyDescent="1.05">
      <c r="C2" s="8" t="s">
        <v>36</v>
      </c>
    </row>
    <row r="4" spans="3:11" x14ac:dyDescent="0.45">
      <c r="C4" s="6" t="s">
        <v>40</v>
      </c>
      <c r="D4" s="21" t="s">
        <v>59</v>
      </c>
    </row>
    <row r="5" spans="3:11" x14ac:dyDescent="0.45">
      <c r="C5" s="2" t="s">
        <v>41</v>
      </c>
      <c r="D5" s="22" t="s">
        <v>60</v>
      </c>
    </row>
    <row r="6" spans="3:11" x14ac:dyDescent="0.45">
      <c r="C6" s="2" t="s">
        <v>42</v>
      </c>
      <c r="D6" s="23" t="s">
        <v>61</v>
      </c>
      <c r="J6" s="6" t="s">
        <v>57</v>
      </c>
      <c r="K6" s="7"/>
    </row>
    <row r="7" spans="3:11" x14ac:dyDescent="0.45">
      <c r="C7" s="2" t="s">
        <v>43</v>
      </c>
      <c r="D7" s="22">
        <v>7493024642</v>
      </c>
      <c r="J7" s="19" t="s">
        <v>3</v>
      </c>
      <c r="K7" s="20" t="s">
        <v>4</v>
      </c>
    </row>
    <row r="8" spans="3:11" x14ac:dyDescent="0.45">
      <c r="C8" s="2" t="s">
        <v>58</v>
      </c>
      <c r="D8" s="22" t="s">
        <v>62</v>
      </c>
      <c r="J8" s="15" t="s">
        <v>16</v>
      </c>
      <c r="K8" s="16" t="s">
        <v>17</v>
      </c>
    </row>
    <row r="9" spans="3:11" x14ac:dyDescent="0.45">
      <c r="C9" s="2" t="s">
        <v>44</v>
      </c>
      <c r="D9" s="22" t="s">
        <v>55</v>
      </c>
      <c r="J9" s="15" t="s">
        <v>28</v>
      </c>
      <c r="K9" s="16" t="s">
        <v>29</v>
      </c>
    </row>
    <row r="10" spans="3:11" x14ac:dyDescent="0.45">
      <c r="C10" s="2" t="s">
        <v>45</v>
      </c>
      <c r="D10" s="22" t="str">
        <f>VLOOKUP(D9, J8:K17, 2, FALSE)</f>
        <v>Wrangler</v>
      </c>
      <c r="J10" s="15" t="s">
        <v>13</v>
      </c>
      <c r="K10" s="16" t="s">
        <v>14</v>
      </c>
    </row>
    <row r="11" spans="3:11" ht="16.5" customHeight="1" x14ac:dyDescent="0.45">
      <c r="C11" s="2" t="s">
        <v>46</v>
      </c>
      <c r="D11" s="24">
        <v>45690</v>
      </c>
      <c r="J11" s="15" t="s">
        <v>18</v>
      </c>
      <c r="K11" s="16" t="s">
        <v>19</v>
      </c>
    </row>
    <row r="12" spans="3:11" x14ac:dyDescent="0.45">
      <c r="C12" s="2" t="s">
        <v>47</v>
      </c>
      <c r="D12" s="24">
        <v>45693</v>
      </c>
      <c r="J12" s="15" t="s">
        <v>53</v>
      </c>
      <c r="K12" s="16" t="s">
        <v>54</v>
      </c>
    </row>
    <row r="13" spans="3:11" x14ac:dyDescent="0.45">
      <c r="C13" s="2" t="s">
        <v>51</v>
      </c>
      <c r="D13" s="22">
        <f>IF(D12 &gt; D11, D12 - D11, 0)</f>
        <v>3</v>
      </c>
      <c r="J13" s="15" t="s">
        <v>21</v>
      </c>
      <c r="K13" s="16" t="s">
        <v>22</v>
      </c>
    </row>
    <row r="14" spans="3:11" x14ac:dyDescent="0.45">
      <c r="C14" s="2" t="s">
        <v>52</v>
      </c>
      <c r="D14" s="25">
        <f>VLOOKUP(D10, Info!A:C, 3, FALSE)</f>
        <v>110</v>
      </c>
      <c r="J14" s="15" t="s">
        <v>10</v>
      </c>
      <c r="K14" s="16" t="s">
        <v>11</v>
      </c>
    </row>
    <row r="15" spans="3:11" x14ac:dyDescent="0.45">
      <c r="C15" s="4" t="s">
        <v>49</v>
      </c>
      <c r="D15" s="26">
        <f>D14* D13</f>
        <v>330</v>
      </c>
      <c r="J15" s="15" t="s">
        <v>30</v>
      </c>
      <c r="K15" s="16" t="s">
        <v>31</v>
      </c>
    </row>
    <row r="16" spans="3:11" x14ac:dyDescent="0.45">
      <c r="J16" s="15" t="s">
        <v>55</v>
      </c>
      <c r="K16" s="16" t="s">
        <v>56</v>
      </c>
    </row>
    <row r="17" spans="10:11" ht="14.25" customHeight="1" x14ac:dyDescent="0.45">
      <c r="J17" s="17" t="s">
        <v>25</v>
      </c>
      <c r="K17" s="18" t="s">
        <v>26</v>
      </c>
    </row>
  </sheetData>
  <dataValidations count="1">
    <dataValidation type="list" allowBlank="1" showInputMessage="1" showErrorMessage="1" sqref="D9" xr:uid="{F68BE609-27B5-4DEE-BFCD-170BA80F2ED5}">
      <formula1>$J$8:$J$17</formula1>
    </dataValidation>
  </dataValidations>
  <hyperlinks>
    <hyperlink ref="D6" r:id="rId1" xr:uid="{CA29611F-44C6-4196-85EC-36E896A066B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aveNewBooking">
                <anchor moveWithCells="1" sizeWithCells="1">
                  <from>
                    <xdr:col>4</xdr:col>
                    <xdr:colOff>238125</xdr:colOff>
                    <xdr:row>2</xdr:row>
                    <xdr:rowOff>171450</xdr:rowOff>
                  </from>
                  <to>
                    <xdr:col>6</xdr:col>
                    <xdr:colOff>323850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F25AB-9393-45F9-B6E1-10960BD072BA}">
  <sheetPr codeName="Sheet5"/>
  <dimension ref="A3:E25"/>
  <sheetViews>
    <sheetView workbookViewId="0">
      <selection activeCell="A3" sqref="A3"/>
    </sheetView>
  </sheetViews>
  <sheetFormatPr defaultRowHeight="14.25" x14ac:dyDescent="0.45"/>
  <cols>
    <col min="1" max="1" width="15.1328125" bestFit="1" customWidth="1"/>
    <col min="2" max="2" width="14.73046875" bestFit="1" customWidth="1"/>
    <col min="3" max="3" width="8.73046875" bestFit="1" customWidth="1"/>
    <col min="4" max="4" width="7.265625" bestFit="1" customWidth="1"/>
    <col min="5" max="5" width="10.19921875" bestFit="1" customWidth="1"/>
    <col min="6" max="21" width="10.33203125" bestFit="1" customWidth="1"/>
    <col min="22" max="22" width="10.19921875" bestFit="1" customWidth="1"/>
  </cols>
  <sheetData>
    <row r="3" spans="1:5" x14ac:dyDescent="0.45">
      <c r="A3" s="10" t="s">
        <v>37</v>
      </c>
      <c r="B3" s="10" t="s">
        <v>63</v>
      </c>
    </row>
    <row r="4" spans="1:5" x14ac:dyDescent="0.45">
      <c r="A4" s="10" t="s">
        <v>38</v>
      </c>
      <c r="B4" t="s">
        <v>64</v>
      </c>
      <c r="C4" t="s">
        <v>65</v>
      </c>
      <c r="D4" t="s">
        <v>66</v>
      </c>
      <c r="E4" t="s">
        <v>39</v>
      </c>
    </row>
    <row r="5" spans="1:5" x14ac:dyDescent="0.45">
      <c r="A5" s="11" t="s">
        <v>10</v>
      </c>
      <c r="B5" s="14">
        <v>170</v>
      </c>
      <c r="C5" s="14">
        <v>255</v>
      </c>
      <c r="D5" s="14"/>
      <c r="E5" s="14">
        <v>425</v>
      </c>
    </row>
    <row r="6" spans="1:5" x14ac:dyDescent="0.45">
      <c r="A6" s="12" t="s">
        <v>11</v>
      </c>
      <c r="B6" s="14">
        <v>170</v>
      </c>
      <c r="C6" s="14">
        <v>255</v>
      </c>
      <c r="D6" s="14"/>
      <c r="E6" s="14">
        <v>425</v>
      </c>
    </row>
    <row r="7" spans="1:5" x14ac:dyDescent="0.45">
      <c r="A7" s="11" t="s">
        <v>21</v>
      </c>
      <c r="B7" s="14">
        <v>450</v>
      </c>
      <c r="C7" s="14">
        <v>450</v>
      </c>
      <c r="D7" s="14"/>
      <c r="E7" s="14">
        <v>900</v>
      </c>
    </row>
    <row r="8" spans="1:5" x14ac:dyDescent="0.45">
      <c r="A8" s="12" t="s">
        <v>22</v>
      </c>
      <c r="B8" s="14">
        <v>450</v>
      </c>
      <c r="C8" s="14">
        <v>450</v>
      </c>
      <c r="D8" s="14"/>
      <c r="E8" s="14">
        <v>900</v>
      </c>
    </row>
    <row r="9" spans="1:5" x14ac:dyDescent="0.45">
      <c r="A9" s="11" t="s">
        <v>18</v>
      </c>
      <c r="B9" s="14">
        <v>360</v>
      </c>
      <c r="C9" s="14"/>
      <c r="D9" s="14">
        <v>270</v>
      </c>
      <c r="E9" s="14">
        <v>630</v>
      </c>
    </row>
    <row r="10" spans="1:5" x14ac:dyDescent="0.45">
      <c r="A10" s="12" t="s">
        <v>19</v>
      </c>
      <c r="B10" s="14">
        <v>360</v>
      </c>
      <c r="C10" s="14"/>
      <c r="D10" s="14">
        <v>270</v>
      </c>
      <c r="E10" s="14">
        <v>630</v>
      </c>
    </row>
    <row r="11" spans="1:5" x14ac:dyDescent="0.45">
      <c r="A11" s="11" t="s">
        <v>13</v>
      </c>
      <c r="B11" s="14">
        <v>360</v>
      </c>
      <c r="C11" s="14">
        <v>480</v>
      </c>
      <c r="D11" s="14"/>
      <c r="E11" s="14">
        <v>840</v>
      </c>
    </row>
    <row r="12" spans="1:5" x14ac:dyDescent="0.45">
      <c r="A12" s="12" t="s">
        <v>14</v>
      </c>
      <c r="B12" s="14">
        <v>360</v>
      </c>
      <c r="C12" s="14">
        <v>480</v>
      </c>
      <c r="D12" s="14"/>
      <c r="E12" s="14">
        <v>840</v>
      </c>
    </row>
    <row r="13" spans="1:5" x14ac:dyDescent="0.45">
      <c r="A13" s="11" t="s">
        <v>28</v>
      </c>
      <c r="B13" s="14">
        <v>110</v>
      </c>
      <c r="C13" s="14">
        <v>165</v>
      </c>
      <c r="D13" s="14"/>
      <c r="E13" s="14">
        <v>275</v>
      </c>
    </row>
    <row r="14" spans="1:5" x14ac:dyDescent="0.45">
      <c r="A14" s="12" t="s">
        <v>29</v>
      </c>
      <c r="B14" s="14">
        <v>110</v>
      </c>
      <c r="C14" s="14">
        <v>165</v>
      </c>
      <c r="D14" s="14"/>
      <c r="E14" s="14">
        <v>275</v>
      </c>
    </row>
    <row r="15" spans="1:5" x14ac:dyDescent="0.45">
      <c r="A15" s="11" t="s">
        <v>30</v>
      </c>
      <c r="B15" s="14">
        <v>225</v>
      </c>
      <c r="C15" s="14">
        <v>225</v>
      </c>
      <c r="D15" s="14"/>
      <c r="E15" s="14">
        <v>450</v>
      </c>
    </row>
    <row r="16" spans="1:5" x14ac:dyDescent="0.45">
      <c r="A16" s="12" t="s">
        <v>31</v>
      </c>
      <c r="B16" s="14">
        <v>225</v>
      </c>
      <c r="C16" s="14">
        <v>225</v>
      </c>
      <c r="D16" s="14"/>
      <c r="E16" s="14">
        <v>450</v>
      </c>
    </row>
    <row r="17" spans="1:5" x14ac:dyDescent="0.45">
      <c r="A17" s="11" t="s">
        <v>55</v>
      </c>
      <c r="B17" s="14">
        <v>330</v>
      </c>
      <c r="C17" s="14"/>
      <c r="D17" s="14">
        <v>550</v>
      </c>
      <c r="E17" s="14">
        <v>880</v>
      </c>
    </row>
    <row r="18" spans="1:5" x14ac:dyDescent="0.45">
      <c r="A18" s="12" t="s">
        <v>56</v>
      </c>
      <c r="B18" s="14">
        <v>330</v>
      </c>
      <c r="C18" s="14"/>
      <c r="D18" s="14">
        <v>550</v>
      </c>
      <c r="E18" s="14">
        <v>880</v>
      </c>
    </row>
    <row r="19" spans="1:5" x14ac:dyDescent="0.45">
      <c r="A19" s="11" t="s">
        <v>25</v>
      </c>
      <c r="B19" s="14">
        <v>1300</v>
      </c>
      <c r="C19" s="14"/>
      <c r="D19" s="14"/>
      <c r="E19" s="14">
        <v>1300</v>
      </c>
    </row>
    <row r="20" spans="1:5" x14ac:dyDescent="0.45">
      <c r="A20" s="12" t="s">
        <v>26</v>
      </c>
      <c r="B20" s="14">
        <v>1300</v>
      </c>
      <c r="C20" s="14"/>
      <c r="D20" s="14"/>
      <c r="E20" s="14">
        <v>1300</v>
      </c>
    </row>
    <row r="21" spans="1:5" x14ac:dyDescent="0.45">
      <c r="A21" s="11" t="s">
        <v>53</v>
      </c>
      <c r="B21" s="14">
        <v>400</v>
      </c>
      <c r="C21" s="14">
        <v>400</v>
      </c>
      <c r="D21" s="14"/>
      <c r="E21" s="14">
        <v>800</v>
      </c>
    </row>
    <row r="22" spans="1:5" x14ac:dyDescent="0.45">
      <c r="A22" s="12" t="s">
        <v>54</v>
      </c>
      <c r="B22" s="14">
        <v>400</v>
      </c>
      <c r="C22" s="14">
        <v>400</v>
      </c>
      <c r="D22" s="14"/>
      <c r="E22" s="14">
        <v>800</v>
      </c>
    </row>
    <row r="23" spans="1:5" x14ac:dyDescent="0.45">
      <c r="A23" s="11" t="s">
        <v>16</v>
      </c>
      <c r="B23" s="14">
        <v>150</v>
      </c>
      <c r="C23" s="14"/>
      <c r="D23" s="14">
        <v>100</v>
      </c>
      <c r="E23" s="14">
        <v>250</v>
      </c>
    </row>
    <row r="24" spans="1:5" x14ac:dyDescent="0.45">
      <c r="A24" s="12" t="s">
        <v>17</v>
      </c>
      <c r="B24" s="14">
        <v>150</v>
      </c>
      <c r="C24" s="14"/>
      <c r="D24" s="14">
        <v>100</v>
      </c>
      <c r="E24" s="14">
        <v>250</v>
      </c>
    </row>
    <row r="25" spans="1:5" x14ac:dyDescent="0.45">
      <c r="A25" s="11" t="s">
        <v>39</v>
      </c>
      <c r="B25" s="14">
        <v>3855</v>
      </c>
      <c r="C25" s="14">
        <v>1975</v>
      </c>
      <c r="D25" s="14">
        <v>920</v>
      </c>
      <c r="E25" s="14">
        <v>6750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F37FF-2DD1-4AA3-9944-9EC400E6B116}">
  <sheetPr codeName="Sheet3"/>
  <dimension ref="A1:E22"/>
  <sheetViews>
    <sheetView workbookViewId="0">
      <selection activeCell="E17" sqref="E17"/>
    </sheetView>
  </sheetViews>
  <sheetFormatPr defaultRowHeight="14.25" x14ac:dyDescent="0.45"/>
  <cols>
    <col min="1" max="1" width="14.59765625" customWidth="1"/>
    <col min="3" max="3" width="9.1328125" style="14"/>
    <col min="4" max="4" width="12.73046875" style="14" customWidth="1"/>
    <col min="5" max="5" width="15.73046875" customWidth="1"/>
  </cols>
  <sheetData>
    <row r="1" spans="1:5" x14ac:dyDescent="0.45">
      <c r="A1" t="s">
        <v>4</v>
      </c>
      <c r="B1" t="s">
        <v>3</v>
      </c>
      <c r="C1" s="14" t="s">
        <v>50</v>
      </c>
      <c r="D1" s="14" t="s">
        <v>6</v>
      </c>
      <c r="E1" t="s">
        <v>8</v>
      </c>
    </row>
    <row r="2" spans="1:5" x14ac:dyDescent="0.45">
      <c r="A2" t="s">
        <v>11</v>
      </c>
      <c r="B2" t="s">
        <v>10</v>
      </c>
      <c r="C2" s="14">
        <v>85</v>
      </c>
      <c r="D2" s="14">
        <v>170</v>
      </c>
      <c r="E2" s="9">
        <v>45658</v>
      </c>
    </row>
    <row r="3" spans="1:5" x14ac:dyDescent="0.45">
      <c r="A3" t="s">
        <v>14</v>
      </c>
      <c r="B3" t="s">
        <v>13</v>
      </c>
      <c r="C3" s="14">
        <v>120</v>
      </c>
      <c r="D3" s="14">
        <v>360</v>
      </c>
      <c r="E3" s="9">
        <v>45662</v>
      </c>
    </row>
    <row r="4" spans="1:5" x14ac:dyDescent="0.45">
      <c r="A4" t="s">
        <v>54</v>
      </c>
      <c r="B4" t="s">
        <v>53</v>
      </c>
      <c r="C4" s="14">
        <v>100</v>
      </c>
      <c r="D4" s="14">
        <v>400</v>
      </c>
      <c r="E4" s="9">
        <v>45665</v>
      </c>
    </row>
    <row r="5" spans="1:5" x14ac:dyDescent="0.45">
      <c r="A5" t="s">
        <v>26</v>
      </c>
      <c r="B5" t="s">
        <v>25</v>
      </c>
      <c r="C5" s="14">
        <v>130</v>
      </c>
      <c r="D5" s="14">
        <v>650</v>
      </c>
      <c r="E5" s="9">
        <v>45667</v>
      </c>
    </row>
    <row r="6" spans="1:5" x14ac:dyDescent="0.45">
      <c r="A6" t="s">
        <v>31</v>
      </c>
      <c r="B6" t="s">
        <v>30</v>
      </c>
      <c r="C6" s="14">
        <v>45</v>
      </c>
      <c r="D6" s="14">
        <v>225</v>
      </c>
      <c r="E6" s="9">
        <v>45669</v>
      </c>
    </row>
    <row r="7" spans="1:5" x14ac:dyDescent="0.45">
      <c r="A7" t="s">
        <v>29</v>
      </c>
      <c r="B7" t="s">
        <v>28</v>
      </c>
      <c r="C7" s="14">
        <v>55</v>
      </c>
      <c r="D7" s="14">
        <v>110</v>
      </c>
      <c r="E7" s="9">
        <v>45672</v>
      </c>
    </row>
    <row r="8" spans="1:5" x14ac:dyDescent="0.45">
      <c r="A8" t="s">
        <v>22</v>
      </c>
      <c r="B8" t="s">
        <v>21</v>
      </c>
      <c r="C8" s="14">
        <v>150</v>
      </c>
      <c r="D8" s="14">
        <v>450</v>
      </c>
      <c r="E8" s="9">
        <v>45674</v>
      </c>
    </row>
    <row r="9" spans="1:5" x14ac:dyDescent="0.45">
      <c r="A9" t="s">
        <v>17</v>
      </c>
      <c r="B9" t="s">
        <v>16</v>
      </c>
      <c r="C9" s="14">
        <v>50</v>
      </c>
      <c r="D9" s="14">
        <v>150</v>
      </c>
      <c r="E9" s="9">
        <v>45677</v>
      </c>
    </row>
    <row r="10" spans="1:5" x14ac:dyDescent="0.45">
      <c r="A10" t="s">
        <v>19</v>
      </c>
      <c r="B10" t="s">
        <v>18</v>
      </c>
      <c r="C10" s="14">
        <v>90</v>
      </c>
      <c r="D10" s="14">
        <v>360</v>
      </c>
      <c r="E10" s="9">
        <v>45680</v>
      </c>
    </row>
    <row r="11" spans="1:5" x14ac:dyDescent="0.45">
      <c r="A11" t="s">
        <v>56</v>
      </c>
      <c r="B11" t="s">
        <v>55</v>
      </c>
      <c r="C11" s="14">
        <v>110</v>
      </c>
      <c r="D11" s="14">
        <v>330</v>
      </c>
      <c r="E11" s="9">
        <v>45683</v>
      </c>
    </row>
    <row r="12" spans="1:5" x14ac:dyDescent="0.45">
      <c r="A12" t="s">
        <v>26</v>
      </c>
      <c r="B12" t="s">
        <v>25</v>
      </c>
      <c r="C12" s="14">
        <v>130</v>
      </c>
      <c r="D12" s="14">
        <v>650</v>
      </c>
      <c r="E12" s="9">
        <v>45687</v>
      </c>
    </row>
    <row r="13" spans="1:5" x14ac:dyDescent="0.45">
      <c r="A13" t="s">
        <v>54</v>
      </c>
      <c r="B13" t="s">
        <v>53</v>
      </c>
      <c r="C13" s="14">
        <v>100</v>
      </c>
      <c r="D13" s="14">
        <v>400</v>
      </c>
      <c r="E13" s="9">
        <v>45691</v>
      </c>
    </row>
    <row r="14" spans="1:5" x14ac:dyDescent="0.45">
      <c r="A14" t="s">
        <v>11</v>
      </c>
      <c r="B14" t="s">
        <v>10</v>
      </c>
      <c r="C14" s="14">
        <v>85</v>
      </c>
      <c r="D14" s="14">
        <v>255</v>
      </c>
      <c r="E14" s="9">
        <v>45696</v>
      </c>
    </row>
    <row r="15" spans="1:5" x14ac:dyDescent="0.45">
      <c r="A15" t="s">
        <v>14</v>
      </c>
      <c r="B15" t="s">
        <v>13</v>
      </c>
      <c r="C15" s="14">
        <v>120</v>
      </c>
      <c r="D15" s="14">
        <v>480</v>
      </c>
      <c r="E15" s="9">
        <v>45699</v>
      </c>
    </row>
    <row r="16" spans="1:5" x14ac:dyDescent="0.45">
      <c r="A16" t="s">
        <v>29</v>
      </c>
      <c r="B16" t="s">
        <v>28</v>
      </c>
      <c r="C16" s="14">
        <v>55</v>
      </c>
      <c r="D16" s="14">
        <v>165</v>
      </c>
      <c r="E16" s="9">
        <v>45704</v>
      </c>
    </row>
    <row r="17" spans="1:5" x14ac:dyDescent="0.45">
      <c r="A17" t="s">
        <v>31</v>
      </c>
      <c r="B17" t="s">
        <v>30</v>
      </c>
      <c r="C17" s="14">
        <v>45</v>
      </c>
      <c r="D17" s="14">
        <v>225</v>
      </c>
      <c r="E17" s="9">
        <v>45708</v>
      </c>
    </row>
    <row r="18" spans="1:5" x14ac:dyDescent="0.45">
      <c r="A18" t="s">
        <v>22</v>
      </c>
      <c r="B18" t="s">
        <v>21</v>
      </c>
      <c r="C18" s="14">
        <v>150</v>
      </c>
      <c r="D18" s="14">
        <v>450</v>
      </c>
      <c r="E18" s="9">
        <v>45713</v>
      </c>
    </row>
    <row r="19" spans="1:5" x14ac:dyDescent="0.45">
      <c r="A19" t="s">
        <v>19</v>
      </c>
      <c r="B19" t="s">
        <v>18</v>
      </c>
      <c r="C19" s="14">
        <v>90</v>
      </c>
      <c r="D19" s="14">
        <v>270</v>
      </c>
      <c r="E19" s="9">
        <v>45717</v>
      </c>
    </row>
    <row r="20" spans="1:5" x14ac:dyDescent="0.45">
      <c r="A20" t="s">
        <v>56</v>
      </c>
      <c r="B20" t="s">
        <v>55</v>
      </c>
      <c r="C20" s="14">
        <v>110</v>
      </c>
      <c r="D20" s="14">
        <v>550</v>
      </c>
      <c r="E20" s="9">
        <v>45720</v>
      </c>
    </row>
    <row r="21" spans="1:5" x14ac:dyDescent="0.45">
      <c r="A21" t="s">
        <v>17</v>
      </c>
      <c r="B21" t="s">
        <v>16</v>
      </c>
      <c r="C21" s="14">
        <v>50</v>
      </c>
      <c r="D21" s="14">
        <v>100</v>
      </c>
      <c r="E21" s="9">
        <v>45725</v>
      </c>
    </row>
    <row r="22" spans="1:5" x14ac:dyDescent="0.45">
      <c r="A22" t="s">
        <v>56</v>
      </c>
      <c r="B22" t="s">
        <v>55</v>
      </c>
      <c r="C22" s="14">
        <v>110</v>
      </c>
      <c r="D22" s="14">
        <v>3</v>
      </c>
      <c r="E22" s="9">
        <v>45690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isplayCarInfo">
                <anchor moveWithCells="1" sizeWithCells="1">
                  <from>
                    <xdr:col>10</xdr:col>
                    <xdr:colOff>38100</xdr:colOff>
                    <xdr:row>8</xdr:row>
                    <xdr:rowOff>19050</xdr:rowOff>
                  </from>
                  <to>
                    <xdr:col>12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Records</vt:lpstr>
      <vt:lpstr>Form</vt:lpstr>
      <vt:lpstr>PivotTable</vt:lpstr>
      <vt:lpstr>Info</vt:lpstr>
    </vt:vector>
  </TitlesOfParts>
  <Company>QMUL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Kanishka Bisen</dc:creator>
  <cp:lastModifiedBy>Darsh Kapoor</cp:lastModifiedBy>
  <dcterms:created xsi:type="dcterms:W3CDTF">2025-01-23T16:37:55Z</dcterms:created>
  <dcterms:modified xsi:type="dcterms:W3CDTF">2025-01-24T09:33:40Z</dcterms:modified>
</cp:coreProperties>
</file>